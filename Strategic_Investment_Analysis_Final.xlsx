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3979aaf37ed59dc/Documents/"/>
    </mc:Choice>
  </mc:AlternateContent>
  <xr:revisionPtr revIDLastSave="6" documentId="11_4069CAEC9639B4583C000F67BA5E78623ADCB5A7" xr6:coauthVersionLast="47" xr6:coauthVersionMax="47" xr10:uidLastSave="{46B22E16-2423-4D9C-B63B-AF3C80EAFDCA}"/>
  <bookViews>
    <workbookView xWindow="-110" yWindow="-110" windowWidth="19420" windowHeight="11500" tabRatio="558" firstSheet="2" activeTab="5" xr2:uid="{00000000-000D-0000-FFFF-FFFF00000000}"/>
  </bookViews>
  <sheets>
    <sheet name="Executive_Dashboard" sheetId="1" r:id="rId1"/>
    <sheet name="Story" sheetId="2" r:id="rId2"/>
    <sheet name="Assumptions" sheetId="4" r:id="rId3"/>
    <sheet name="Financial_Model" sheetId="3" r:id="rId4"/>
    <sheet name="PBI_Financials" sheetId="5" r:id="rId5"/>
    <sheet name="PBI_Scenario_Summary" sheetId="6" r:id="rId6"/>
  </sheets>
  <definedNames>
    <definedName name="_xlnm._FilterDatabase" localSheetId="4" hidden="1">PBI_Financials!$A$1:$Q$19</definedName>
    <definedName name="_xlnm._FilterDatabase" localSheetId="5" hidden="1">PBI_Scenario_Summary!$A$1:$G$4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3" i="4"/>
  <c r="C20" i="3" s="1"/>
  <c r="C12" i="4"/>
  <c r="C11" i="4"/>
  <c r="F14" i="3" s="1"/>
  <c r="C10" i="4"/>
  <c r="G9" i="3" s="1"/>
  <c r="G13" i="3" s="1"/>
  <c r="C9" i="4"/>
  <c r="C8" i="4"/>
  <c r="C7" i="4"/>
  <c r="C7" i="3" s="1"/>
  <c r="C6" i="4"/>
  <c r="C5" i="4"/>
  <c r="E13" i="2" s="1"/>
  <c r="C4" i="4"/>
  <c r="C4" i="3" s="1"/>
  <c r="C3" i="4"/>
  <c r="B14" i="3" s="1"/>
  <c r="B17" i="3" s="1"/>
  <c r="A2" i="3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C18" i="1"/>
  <c r="C15" i="1"/>
  <c r="C4" i="1"/>
  <c r="D7" i="3" l="1"/>
  <c r="E7" i="3" s="1"/>
  <c r="F7" i="3" s="1"/>
  <c r="G7" i="3" s="1"/>
  <c r="C15" i="3"/>
  <c r="C16" i="3" s="1"/>
  <c r="C5" i="3"/>
  <c r="C6" i="3" s="1"/>
  <c r="C8" i="3" s="1"/>
  <c r="D4" i="3"/>
  <c r="E14" i="2"/>
  <c r="E12" i="2"/>
  <c r="G14" i="3"/>
  <c r="C9" i="3"/>
  <c r="C13" i="3" s="1"/>
  <c r="E14" i="3"/>
  <c r="D9" i="3"/>
  <c r="D13" i="3" s="1"/>
  <c r="C14" i="3"/>
  <c r="D14" i="3"/>
  <c r="E9" i="3"/>
  <c r="E13" i="3" s="1"/>
  <c r="F9" i="3"/>
  <c r="F13" i="3" s="1"/>
  <c r="C10" i="3" l="1"/>
  <c r="C11" i="3" s="1"/>
  <c r="C12" i="3" s="1"/>
  <c r="C17" i="3" s="1"/>
  <c r="D15" i="3"/>
  <c r="D16" i="3" s="1"/>
  <c r="D5" i="3"/>
  <c r="D6" i="3" s="1"/>
  <c r="D8" i="3" s="1"/>
  <c r="D10" i="3" s="1"/>
  <c r="E4" i="3"/>
  <c r="D11" i="3" l="1"/>
  <c r="D12" i="3" s="1"/>
  <c r="D17" i="3" s="1"/>
  <c r="E15" i="3"/>
  <c r="E16" i="3" s="1"/>
  <c r="E5" i="3"/>
  <c r="E6" i="3" s="1"/>
  <c r="E8" i="3" s="1"/>
  <c r="E10" i="3" s="1"/>
  <c r="F4" i="3"/>
  <c r="E11" i="3" l="1"/>
  <c r="E12" i="3" s="1"/>
  <c r="E17" i="3" s="1"/>
  <c r="F15" i="3"/>
  <c r="F16" i="3" s="1"/>
  <c r="F5" i="3"/>
  <c r="F6" i="3" s="1"/>
  <c r="F8" i="3" s="1"/>
  <c r="F10" i="3" s="1"/>
  <c r="G4" i="3"/>
  <c r="F11" i="3" l="1"/>
  <c r="F12" i="3" s="1"/>
  <c r="F17" i="3" s="1"/>
  <c r="G15" i="3"/>
  <c r="G16" i="3" s="1"/>
  <c r="G5" i="3"/>
  <c r="G6" i="3" s="1"/>
  <c r="G8" i="3" s="1"/>
  <c r="D8" i="1" l="1"/>
  <c r="G10" i="3"/>
  <c r="G11" i="3" l="1"/>
  <c r="G12" i="3" s="1"/>
  <c r="G17" i="3" s="1"/>
  <c r="C22" i="3" l="1"/>
  <c r="C21" i="3"/>
  <c r="L4" i="4" l="1"/>
  <c r="B23" i="1" s="1"/>
  <c r="C26" i="3"/>
  <c r="C10" i="1"/>
  <c r="D6" i="1"/>
  <c r="E15" i="2"/>
  <c r="D7" i="1"/>
  <c r="E16" i="2"/>
</calcChain>
</file>

<file path=xl/sharedStrings.xml><?xml version="1.0" encoding="utf-8"?>
<sst xmlns="http://schemas.openxmlformats.org/spreadsheetml/2006/main" count="150" uniqueCount="95">
  <si>
    <t>Strategic Investment Project: Investment Story</t>
  </si>
  <si>
    <t>1. Business Context</t>
  </si>
  <si>
    <t>The company is evaluating a new premium healthy-food production and distribution facility to support future revenue growth and expand its operating capacity</t>
  </si>
  <si>
    <t>2. Investment Opportunity</t>
  </si>
  <si>
    <t>The project requires an initial investment of THB 5.0 million and is expected to generate THB 5.0 million of revenue in Year 1.</t>
  </si>
  <si>
    <t>The Base Case assumes 10% annual revenue growth</t>
  </si>
  <si>
    <t>3. Financial Case</t>
  </si>
  <si>
    <t>Initial CAPEX</t>
  </si>
  <si>
    <t>Base Case Revenue Growth</t>
  </si>
  <si>
    <t>WACC</t>
  </si>
  <si>
    <t>NPV</t>
  </si>
  <si>
    <t>IRR</t>
  </si>
  <si>
    <t>4. Key Investment Insight</t>
  </si>
  <si>
    <t>The Base Case does not create sufficient economic value. NPV is negative at THB 341K and IRR of 7.66% is below the 10.00% required return.</t>
  </si>
  <si>
    <t>However, the project is relatively close to the investment threshold. NPV reaches approximately zero at around 11.78% revenue growth, compared with 10.00% in the Base Case.</t>
  </si>
  <si>
    <t>5. Key Drivers, Risks &amp; Upside</t>
  </si>
  <si>
    <t>Key Upside</t>
  </si>
  <si>
    <t>Revenue Growth: Higher-than-expected revenue growth is the main path to value creation. The project reaches NPV break-even at approximately 11.78% growth.</t>
  </si>
  <si>
    <t>Key Risk</t>
  </si>
  <si>
    <t>Cost of Capital: A higher WACC reduces project value. The project requires a WACC of approximately 7.66% or lower to achieve NPV break-even.</t>
  </si>
  <si>
    <t>6. Investment Recommendation</t>
  </si>
  <si>
    <t>NOT ATTRACTIVE UNDER BASE CASE</t>
  </si>
  <si>
    <t>The project should not be approved under the current Base Case because NPV is negative and IRR is below WACC.</t>
  </si>
  <si>
    <t>However, management could reconsider the investment if the project can demonstrate stronger revenue growth, lower investment risk, or a lower cost of capital</t>
  </si>
  <si>
    <t>7.Management Next Step</t>
  </si>
  <si>
    <t>Before approval, management should validate whether the project can realistically achieve revenue growth above the 11.78% break-even level</t>
  </si>
  <si>
    <t>and whether the required return can be reduced through lower investment risk or a more efficient capital structure.</t>
  </si>
  <si>
    <t>Strategic Investment Project: Executive Dashboard</t>
  </si>
  <si>
    <t xml:space="preserve"> Scenario</t>
  </si>
  <si>
    <t xml:space="preserve">Projected Free Cash Flow </t>
  </si>
  <si>
    <t>Key Financial Metrics</t>
  </si>
  <si>
    <t>Project NPV:</t>
  </si>
  <si>
    <t>Project IRR:</t>
  </si>
  <si>
    <t>Year 5 EBITDA:</t>
  </si>
  <si>
    <t>Investment Decision</t>
  </si>
  <si>
    <t>Break-even Analysis</t>
  </si>
  <si>
    <t>Revenue Growth Break-even</t>
  </si>
  <si>
    <t>Revenue Growth Base Case</t>
  </si>
  <si>
    <t xml:space="preserve">Growth Gap </t>
  </si>
  <si>
    <t>WACC Break-even</t>
  </si>
  <si>
    <t>WACC Base Case</t>
  </si>
  <si>
    <t>WACC Gap</t>
  </si>
  <si>
    <t>Sensitivity Analysis: NPV based on WACC and Revenue Growth</t>
  </si>
  <si>
    <t>Year 0</t>
  </si>
  <si>
    <t>Year 1</t>
  </si>
  <si>
    <t>Year 2</t>
  </si>
  <si>
    <t>Year 3</t>
  </si>
  <si>
    <t>Year 4</t>
  </si>
  <si>
    <t>Year 5</t>
  </si>
  <si>
    <t>Revenue</t>
  </si>
  <si>
    <t>COGS (40%)</t>
  </si>
  <si>
    <t>Gross Profit</t>
  </si>
  <si>
    <t xml:space="preserve">   </t>
  </si>
  <si>
    <t>SG&amp;A</t>
  </si>
  <si>
    <t>EBITDA</t>
  </si>
  <si>
    <t>Depreciation</t>
  </si>
  <si>
    <t>EBIT</t>
  </si>
  <si>
    <t>Taxes (20%)</t>
  </si>
  <si>
    <t>NOPAT</t>
  </si>
  <si>
    <t>Add: Depreciation</t>
  </si>
  <si>
    <t>Less: CAPEX</t>
  </si>
  <si>
    <t>NWC</t>
  </si>
  <si>
    <t>Less: Change in NWC</t>
  </si>
  <si>
    <t>Free Cash Flow (FCF)</t>
  </si>
  <si>
    <t>Valuation Metrics</t>
  </si>
  <si>
    <t>WACC (Discount Rate)</t>
  </si>
  <si>
    <t>goal seek Reveune</t>
  </si>
  <si>
    <t>goal seek WACC</t>
  </si>
  <si>
    <t>Active Scenario</t>
  </si>
  <si>
    <t>Base Case</t>
  </si>
  <si>
    <t>Best Case</t>
  </si>
  <si>
    <t>Worst Case</t>
  </si>
  <si>
    <t>Working Capital Assumptions</t>
  </si>
  <si>
    <t>Revenue Year 1</t>
  </si>
  <si>
    <t>Revenue Growth</t>
  </si>
  <si>
    <t>COGS(% Revenue)</t>
  </si>
  <si>
    <t>COGS% Revenue</t>
  </si>
  <si>
    <t xml:space="preserve">SG&amp;A Year 1 </t>
  </si>
  <si>
    <t>Cost Inflation</t>
  </si>
  <si>
    <t>Tax Rate</t>
  </si>
  <si>
    <t>CAPEX</t>
  </si>
  <si>
    <t>NWC Requirement</t>
  </si>
  <si>
    <t>Terminal Growth</t>
  </si>
  <si>
    <t>Scenario</t>
  </si>
  <si>
    <t>Year</t>
  </si>
  <si>
    <t>COGS</t>
  </si>
  <si>
    <t>Taxes</t>
  </si>
  <si>
    <t>Add Depreciation</t>
  </si>
  <si>
    <t>Change in NWC</t>
  </si>
  <si>
    <t>FCF</t>
  </si>
  <si>
    <t>Year 5 Revenue</t>
  </si>
  <si>
    <t>Year 5 EBITDA</t>
  </si>
  <si>
    <t>Decision</t>
  </si>
  <si>
    <t>NOT ATTRACTIVE</t>
  </si>
  <si>
    <t>ATTRACTIVE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</si>
</sst>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WACC / Revenue Growth&quot;;\ &quot;WACC / Revenue Growth&quot;"/>
    <numFmt numFmtId="165" formatCode="#,##0.00;[Red]\(#,##0.00\);\-"/>
  </numFmts>
  <fonts count="20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14"/>
      <color rgb="FF1F4E78"/>
      <name val="Calibri"/>
      <family val="2"/>
    </font>
    <font>
      <b/>
      <sz val="11"/>
      <color rgb="FF00B05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Arial Unicode MS"/>
      <charset val="222"/>
    </font>
    <font>
      <b/>
      <sz val="16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1F4E7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7365D"/>
      </patternFill>
    </fill>
  </fills>
  <borders count="1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</borders>
  <cellStyleXfs count="3">
    <xf numFmtId="0" fontId="0" fillId="0" borderId="0"/>
    <xf numFmtId="43" fontId="7" fillId="0" borderId="0"/>
    <xf numFmtId="9" fontId="7" fillId="0" borderId="0"/>
  </cellStyleXfs>
  <cellXfs count="92">
    <xf numFmtId="0" fontId="0" fillId="0" borderId="0" xfId="0"/>
    <xf numFmtId="0" fontId="1" fillId="0" borderId="0" xfId="0" applyFont="1"/>
    <xf numFmtId="3" fontId="6" fillId="0" borderId="0" xfId="0" applyNumberFormat="1" applyFont="1"/>
    <xf numFmtId="10" fontId="6" fillId="0" borderId="0" xfId="0" applyNumberFormat="1" applyFont="1"/>
    <xf numFmtId="3" fontId="2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/>
    <xf numFmtId="3" fontId="2" fillId="0" borderId="1" xfId="0" applyNumberFormat="1" applyFont="1" applyBorder="1"/>
    <xf numFmtId="0" fontId="4" fillId="0" borderId="0" xfId="0" applyFont="1"/>
    <xf numFmtId="10" fontId="0" fillId="0" borderId="0" xfId="0" applyNumberFormat="1"/>
    <xf numFmtId="10" fontId="2" fillId="0" borderId="0" xfId="0" applyNumberFormat="1" applyFont="1"/>
    <xf numFmtId="0" fontId="5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/>
    <xf numFmtId="0" fontId="9" fillId="0" borderId="0" xfId="0" applyFon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1" xfId="0" applyFill="1" applyBorder="1"/>
    <xf numFmtId="3" fontId="0" fillId="7" borderId="1" xfId="0" applyNumberFormat="1" applyFill="1" applyBorder="1"/>
    <xf numFmtId="0" fontId="9" fillId="9" borderId="0" xfId="0" applyFont="1" applyFill="1"/>
    <xf numFmtId="0" fontId="3" fillId="10" borderId="0" xfId="0" applyFont="1" applyFill="1" applyAlignment="1">
      <alignment horizontal="center" vertical="center"/>
    </xf>
    <xf numFmtId="3" fontId="12" fillId="8" borderId="0" xfId="0" applyNumberFormat="1" applyFont="1" applyFill="1"/>
    <xf numFmtId="10" fontId="3" fillId="2" borderId="4" xfId="0" applyNumberFormat="1" applyFont="1" applyFill="1" applyBorder="1"/>
    <xf numFmtId="10" fontId="2" fillId="3" borderId="6" xfId="0" applyNumberFormat="1" applyFont="1" applyFill="1" applyBorder="1"/>
    <xf numFmtId="3" fontId="12" fillId="8" borderId="7" xfId="0" applyNumberFormat="1" applyFont="1" applyFill="1" applyBorder="1"/>
    <xf numFmtId="10" fontId="2" fillId="3" borderId="8" xfId="0" applyNumberFormat="1" applyFont="1" applyFill="1" applyBorder="1"/>
    <xf numFmtId="3" fontId="12" fillId="8" borderId="9" xfId="0" applyNumberFormat="1" applyFont="1" applyFill="1" applyBorder="1"/>
    <xf numFmtId="3" fontId="12" fillId="8" borderId="10" xfId="0" applyNumberFormat="1" applyFont="1" applyFill="1" applyBorder="1"/>
    <xf numFmtId="43" fontId="0" fillId="0" borderId="0" xfId="1" applyFont="1"/>
    <xf numFmtId="43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11" borderId="0" xfId="0" applyFill="1"/>
    <xf numFmtId="0" fontId="0" fillId="7" borderId="12" xfId="0" applyFill="1" applyBorder="1"/>
    <xf numFmtId="3" fontId="0" fillId="7" borderId="12" xfId="0" applyNumberFormat="1" applyFill="1" applyBorder="1"/>
    <xf numFmtId="0" fontId="2" fillId="0" borderId="11" xfId="0" applyFont="1" applyBorder="1"/>
    <xf numFmtId="3" fontId="2" fillId="0" borderId="11" xfId="0" applyNumberFormat="1" applyFont="1" applyBorder="1"/>
    <xf numFmtId="0" fontId="0" fillId="0" borderId="13" xfId="0" applyBorder="1"/>
    <xf numFmtId="0" fontId="10" fillId="0" borderId="3" xfId="0" applyFont="1" applyBorder="1"/>
    <xf numFmtId="43" fontId="0" fillId="0" borderId="5" xfId="1" applyFont="1" applyBorder="1" applyAlignment="1">
      <alignment horizontal="center"/>
    </xf>
    <xf numFmtId="0" fontId="10" fillId="0" borderId="6" xfId="0" applyFont="1" applyBorder="1"/>
    <xf numFmtId="43" fontId="0" fillId="0" borderId="7" xfId="1" applyFont="1" applyBorder="1" applyAlignment="1">
      <alignment horizontal="center"/>
    </xf>
    <xf numFmtId="9" fontId="0" fillId="0" borderId="7" xfId="2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9" fontId="0" fillId="0" borderId="10" xfId="2" applyFont="1" applyBorder="1" applyAlignment="1">
      <alignment horizontal="center"/>
    </xf>
    <xf numFmtId="43" fontId="0" fillId="0" borderId="4" xfId="1" applyFont="1" applyBorder="1" applyAlignment="1">
      <alignment horizontal="center"/>
    </xf>
    <xf numFmtId="43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2" fillId="3" borderId="6" xfId="0" applyNumberFormat="1" applyFont="1" applyFill="1" applyBorder="1"/>
    <xf numFmtId="9" fontId="2" fillId="3" borderId="8" xfId="0" applyNumberFormat="1" applyFont="1" applyFill="1" applyBorder="1"/>
    <xf numFmtId="9" fontId="3" fillId="2" borderId="4" xfId="0" applyNumberFormat="1" applyFont="1" applyFill="1" applyBorder="1"/>
    <xf numFmtId="9" fontId="3" fillId="2" borderId="5" xfId="0" applyNumberFormat="1" applyFont="1" applyFill="1" applyBorder="1"/>
    <xf numFmtId="164" fontId="11" fillId="2" borderId="3" xfId="0" applyNumberFormat="1" applyFont="1" applyFill="1" applyBorder="1"/>
    <xf numFmtId="0" fontId="0" fillId="9" borderId="15" xfId="0" applyFill="1" applyBorder="1"/>
    <xf numFmtId="0" fontId="9" fillId="9" borderId="13" xfId="0" applyFont="1" applyFill="1" applyBorder="1"/>
    <xf numFmtId="0" fontId="14" fillId="0" borderId="15" xfId="0" applyFont="1" applyBorder="1" applyAlignment="1">
      <alignment horizontal="center" vertical="center"/>
    </xf>
    <xf numFmtId="3" fontId="9" fillId="0" borderId="0" xfId="0" applyNumberFormat="1" applyFont="1"/>
    <xf numFmtId="10" fontId="9" fillId="0" borderId="0" xfId="0" applyNumberFormat="1" applyFont="1"/>
    <xf numFmtId="0" fontId="11" fillId="9" borderId="0" xfId="0" applyFont="1" applyFill="1"/>
    <xf numFmtId="0" fontId="10" fillId="0" borderId="0" xfId="0" applyFont="1"/>
    <xf numFmtId="0" fontId="0" fillId="0" borderId="6" xfId="0" applyBorder="1" applyAlignment="1">
      <alignment horizontal="left" indent="1"/>
    </xf>
    <xf numFmtId="9" fontId="8" fillId="0" borderId="7" xfId="2" applyFont="1" applyBorder="1"/>
    <xf numFmtId="10" fontId="8" fillId="0" borderId="10" xfId="0" applyNumberFormat="1" applyFont="1" applyBorder="1"/>
    <xf numFmtId="0" fontId="13" fillId="9" borderId="14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11" xfId="0" applyFont="1" applyFill="1" applyBorder="1"/>
    <xf numFmtId="3" fontId="11" fillId="9" borderId="11" xfId="0" applyNumberFormat="1" applyFont="1" applyFill="1" applyBorder="1"/>
    <xf numFmtId="0" fontId="0" fillId="0" borderId="3" xfId="0" applyBorder="1" applyAlignment="1">
      <alignment horizontal="left" indent="1"/>
    </xf>
    <xf numFmtId="10" fontId="15" fillId="0" borderId="5" xfId="2" applyNumberFormat="1" applyFont="1" applyBorder="1"/>
    <xf numFmtId="10" fontId="8" fillId="0" borderId="7" xfId="0" applyNumberFormat="1" applyFont="1" applyBorder="1"/>
    <xf numFmtId="0" fontId="0" fillId="0" borderId="8" xfId="0" applyBorder="1" applyAlignment="1">
      <alignment horizontal="left" indent="1"/>
    </xf>
    <xf numFmtId="0" fontId="0" fillId="0" borderId="6" xfId="0" applyBorder="1" applyAlignment="1">
      <alignment horizontal="left" vertical="center" indent="1"/>
    </xf>
    <xf numFmtId="10" fontId="16" fillId="0" borderId="7" xfId="0" applyNumberFormat="1" applyFont="1" applyBorder="1" applyAlignment="1">
      <alignment vertical="center"/>
    </xf>
    <xf numFmtId="0" fontId="13" fillId="9" borderId="3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8" fillId="12" borderId="0" xfId="0" applyFont="1" applyFill="1" applyAlignment="1">
      <alignment horizontal="center" vertical="center" wrapText="1"/>
    </xf>
    <xf numFmtId="0" fontId="19" fillId="0" borderId="0" xfId="0" applyFont="1"/>
    <xf numFmtId="0" fontId="0" fillId="0" borderId="16" xfId="0" applyBorder="1"/>
    <xf numFmtId="1" fontId="0" fillId="0" borderId="16" xfId="0" applyNumberFormat="1" applyBorder="1"/>
    <xf numFmtId="165" fontId="0" fillId="0" borderId="16" xfId="0" applyNumberFormat="1" applyBorder="1"/>
    <xf numFmtId="10" fontId="0" fillId="0" borderId="16" xfId="0" applyNumberFormat="1" applyBorder="1"/>
    <xf numFmtId="0" fontId="0" fillId="0" borderId="0" xfId="0" applyAlignment="1">
      <alignment vertical="top" wrapText="1"/>
    </xf>
    <xf numFmtId="0" fontId="9" fillId="9" borderId="0" xfId="0" applyFont="1" applyFill="1" applyAlignment="1">
      <alignment horizontal="left"/>
    </xf>
    <xf numFmtId="0" fontId="0" fillId="0" borderId="0" xfId="0"/>
    <xf numFmtId="0" fontId="17" fillId="9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Projected Free Cash Flow (5 Years)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7311963085635379"/>
          <c:y val="0.15450774755939231"/>
          <c:w val="0.77138647347217004"/>
          <c:h val="0.66579945708071286"/>
        </c:manualLayout>
      </c:layout>
      <c:lineChart>
        <c:grouping val="standard"/>
        <c:varyColors val="0"/>
        <c:ser>
          <c:idx val="0"/>
          <c:order val="0"/>
          <c:tx>
            <c:v>FCF</c:v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Financial_Model!$B$3:$G$3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Financial_Model!$B$17:$G$17</c:f>
              <c:numCache>
                <c:formatCode>#,##0</c:formatCode>
                <c:ptCount val="6"/>
                <c:pt idx="0">
                  <c:v>-5000000</c:v>
                </c:pt>
                <c:pt idx="1">
                  <c:v>650000</c:v>
                </c:pt>
                <c:pt idx="2">
                  <c:v>1079000</c:v>
                </c:pt>
                <c:pt idx="3">
                  <c:v>1303420.0000000005</c:v>
                </c:pt>
                <c:pt idx="4">
                  <c:v>1552877.6000000008</c:v>
                </c:pt>
                <c:pt idx="5">
                  <c:v>1829954.4280000017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0-4A38-99B6-5560E03A0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12700</xdr:colOff>
      <xdr:row>4</xdr:row>
      <xdr:rowOff>57150</xdr:rowOff>
    </xdr:from>
    <xdr:ext cx="5289550" cy="2965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2:K28"/>
  <sheetViews>
    <sheetView showGridLines="0" topLeftCell="A8" workbookViewId="0">
      <selection activeCell="B2" sqref="B2"/>
    </sheetView>
  </sheetViews>
  <sheetFormatPr defaultRowHeight="14.5"/>
  <cols>
    <col min="2" max="2" width="25.90625" customWidth="1"/>
    <col min="3" max="3" width="17.26953125" customWidth="1"/>
    <col min="4" max="4" width="9.453125" customWidth="1"/>
    <col min="5" max="5" width="10.36328125" customWidth="1"/>
    <col min="7" max="7" width="9.26953125" customWidth="1"/>
    <col min="11" max="11" width="24.453125" customWidth="1"/>
    <col min="12" max="16" width="10.08984375" customWidth="1"/>
  </cols>
  <sheetData>
    <row r="2" spans="2:11" ht="21" customHeight="1">
      <c r="B2" s="1" t="s">
        <v>27</v>
      </c>
    </row>
    <row r="4" spans="2:11">
      <c r="B4" s="24" t="s">
        <v>28</v>
      </c>
      <c r="C4" s="15" t="str">
        <f>Assumptions!C2</f>
        <v>Base Case</v>
      </c>
      <c r="H4" s="65" t="s">
        <v>29</v>
      </c>
      <c r="I4" s="23"/>
      <c r="J4" s="23"/>
      <c r="K4" s="23"/>
    </row>
    <row r="6" spans="2:11">
      <c r="B6" s="71" t="s">
        <v>30</v>
      </c>
      <c r="C6" s="66" t="s">
        <v>31</v>
      </c>
      <c r="D6" s="2">
        <f>Financial_Model!C21</f>
        <v>-341182.61420295388</v>
      </c>
    </row>
    <row r="7" spans="2:11">
      <c r="C7" s="66" t="s">
        <v>32</v>
      </c>
      <c r="D7" s="3">
        <f>Financial_Model!C22</f>
        <v>7.6621435633456469E-2</v>
      </c>
    </row>
    <row r="8" spans="2:11">
      <c r="C8" s="66" t="s">
        <v>33</v>
      </c>
      <c r="D8" s="4">
        <f>Financial_Model!G8</f>
        <v>2704036.785000002</v>
      </c>
    </row>
    <row r="10" spans="2:11" ht="15.5" customHeight="1">
      <c r="B10" s="70" t="s">
        <v>34</v>
      </c>
      <c r="C10" s="62" t="str">
        <f>IF(Financial_Model!C21&gt;=0,"ATTRACTIVE","NOT ATTRACTIVE")</f>
        <v>NOT ATTRACTIVE</v>
      </c>
      <c r="D10" s="60"/>
      <c r="E10" s="61"/>
    </row>
    <row r="12" spans="2:11">
      <c r="B12" s="80" t="s">
        <v>35</v>
      </c>
      <c r="C12" s="81"/>
    </row>
    <row r="13" spans="2:11">
      <c r="B13" s="74" t="s">
        <v>36</v>
      </c>
      <c r="C13" s="75">
        <v>0.1178</v>
      </c>
    </row>
    <row r="14" spans="2:11">
      <c r="B14" s="67" t="s">
        <v>37</v>
      </c>
      <c r="C14" s="68">
        <v>0.1</v>
      </c>
    </row>
    <row r="15" spans="2:11">
      <c r="B15" s="67" t="s">
        <v>38</v>
      </c>
      <c r="C15" s="76">
        <f>C13-C14</f>
        <v>1.7799999999999996E-2</v>
      </c>
    </row>
    <row r="16" spans="2:11" ht="16" customHeight="1">
      <c r="B16" s="67" t="s">
        <v>39</v>
      </c>
      <c r="C16" s="79">
        <v>7.6600000000000001E-2</v>
      </c>
    </row>
    <row r="17" spans="2:7">
      <c r="B17" s="78" t="s">
        <v>40</v>
      </c>
      <c r="C17" s="68">
        <v>0.1</v>
      </c>
    </row>
    <row r="18" spans="2:7">
      <c r="B18" s="77" t="s">
        <v>41</v>
      </c>
      <c r="C18" s="69">
        <f>C17-C16</f>
        <v>2.3400000000000004E-2</v>
      </c>
    </row>
    <row r="22" spans="2:7">
      <c r="B22" s="10" t="s">
        <v>42</v>
      </c>
    </row>
    <row r="23" spans="2:7">
      <c r="B23" s="59">
        <f>Assumptions!L4</f>
        <v>-341182.61420295388</v>
      </c>
      <c r="C23" s="26">
        <f>Assumptions!M4</f>
        <v>-0.05</v>
      </c>
      <c r="D23" s="26">
        <f>Assumptions!N4</f>
        <v>0</v>
      </c>
      <c r="E23" s="26">
        <f>Assumptions!O4</f>
        <v>0.05</v>
      </c>
      <c r="F23" s="26">
        <f>Assumptions!P4</f>
        <v>0.1</v>
      </c>
      <c r="G23" s="26">
        <f>Assumptions!Q4</f>
        <v>0.15</v>
      </c>
    </row>
    <row r="24" spans="2:7">
      <c r="B24" s="27">
        <f>Assumptions!L5</f>
        <v>0.08</v>
      </c>
      <c r="C24" s="25">
        <f>Assumptions!M5</f>
        <v>-2761863.6542615891</v>
      </c>
      <c r="D24" s="25">
        <f>Assumptions!N5</f>
        <v>-1911211.4662069739</v>
      </c>
      <c r="E24" s="25">
        <f>Assumptions!O5</f>
        <v>-1024092.1100324281</v>
      </c>
      <c r="F24" s="25">
        <f>Assumptions!P5</f>
        <v>-51535.112678790465</v>
      </c>
      <c r="G24" s="28">
        <f>Assumptions!Q5</f>
        <v>1012491.3645834411</v>
      </c>
    </row>
    <row r="25" spans="2:7">
      <c r="B25" s="27">
        <f>Assumptions!L6</f>
        <v>0.09</v>
      </c>
      <c r="C25" s="25">
        <f>Assumptions!M6</f>
        <v>-2812297.6028156471</v>
      </c>
      <c r="D25" s="25">
        <f>Assumptions!N6</f>
        <v>-1992118.0209359298</v>
      </c>
      <c r="E25" s="25">
        <f>Assumptions!O6</f>
        <v>-1136831.3696335792</v>
      </c>
      <c r="F25" s="25">
        <f>Assumptions!P6</f>
        <v>-199575.16066357866</v>
      </c>
      <c r="G25" s="28">
        <f>Assumptions!Q6</f>
        <v>825421.26551158261</v>
      </c>
    </row>
    <row r="26" spans="2:7">
      <c r="B26" s="27">
        <f>Assumptions!L7</f>
        <v>0.1</v>
      </c>
      <c r="C26" s="25">
        <f>Assumptions!M7</f>
        <v>-2860871.0920764236</v>
      </c>
      <c r="D26" s="25">
        <f>Assumptions!N7</f>
        <v>-2069740.648614415</v>
      </c>
      <c r="E26" s="25">
        <f>Assumptions!O7</f>
        <v>-1244799.1316415309</v>
      </c>
      <c r="F26" s="25">
        <f>Assumptions!P7</f>
        <v>-341182.61420295388</v>
      </c>
      <c r="G26" s="28">
        <f>Assumptions!Q7</f>
        <v>646631.99886991829</v>
      </c>
    </row>
    <row r="27" spans="2:7">
      <c r="B27" s="27">
        <f>Assumptions!L8</f>
        <v>0.11</v>
      </c>
      <c r="C27" s="25">
        <f>Assumptions!M8</f>
        <v>-2907674.7399909366</v>
      </c>
      <c r="D27" s="25">
        <f>Assumptions!N8</f>
        <v>-2144250.403503478</v>
      </c>
      <c r="E27" s="25">
        <f>Assumptions!O8</f>
        <v>-1348250.5052564056</v>
      </c>
      <c r="F27" s="25">
        <f>Assumptions!P8</f>
        <v>-476706.87896960322</v>
      </c>
      <c r="G27" s="28">
        <f>Assumptions!Q8</f>
        <v>475668.79432266578</v>
      </c>
    </row>
    <row r="28" spans="2:7">
      <c r="B28" s="29">
        <f>Assumptions!L9</f>
        <v>0.12</v>
      </c>
      <c r="C28" s="30">
        <f>Assumptions!M9</f>
        <v>-2952793.7965191067</v>
      </c>
      <c r="D28" s="30">
        <f>Assumptions!N9</f>
        <v>-2215807.6888412563</v>
      </c>
      <c r="E28" s="30">
        <f>Assumptions!O9</f>
        <v>-1447424.4289950877</v>
      </c>
      <c r="F28" s="30">
        <f>Assumptions!P9</f>
        <v>-606474.97712207492</v>
      </c>
      <c r="G28" s="31">
        <f>Assumptions!Q9</f>
        <v>312106.2281754883</v>
      </c>
    </row>
  </sheetData>
  <conditionalFormatting sqref="C10">
    <cfRule type="expression" dxfId="6" priority="1">
      <formula>C10="NOT ATTRACTIVE"</formula>
    </cfRule>
    <cfRule type="expression" dxfId="5" priority="2">
      <formula>C10="ATTRACTIVE"</formula>
    </cfRule>
  </conditionalFormatting>
  <conditionalFormatting sqref="C24:G28">
    <cfRule type="cellIs" dxfId="4" priority="11" operator="greaterThan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3"/>
  <sheetViews>
    <sheetView topLeftCell="A4" workbookViewId="0">
      <selection activeCell="I46" sqref="I46"/>
    </sheetView>
  </sheetViews>
  <sheetFormatPr defaultRowHeight="14.5"/>
  <cols>
    <col min="4" max="4" width="10" customWidth="1"/>
    <col min="5" max="5" width="17.08984375" customWidth="1"/>
  </cols>
  <sheetData>
    <row r="2" spans="2:8" ht="21" customHeight="1">
      <c r="B2" s="91" t="s">
        <v>0</v>
      </c>
      <c r="C2" s="90"/>
      <c r="D2" s="90"/>
      <c r="E2" s="90"/>
      <c r="F2" s="90"/>
      <c r="G2" s="90"/>
      <c r="H2" s="90"/>
    </row>
    <row r="4" spans="2:8">
      <c r="B4" s="89" t="s">
        <v>1</v>
      </c>
      <c r="C4" s="90"/>
    </row>
    <row r="5" spans="2:8">
      <c r="B5" t="s">
        <v>2</v>
      </c>
    </row>
    <row r="7" spans="2:8">
      <c r="B7" s="89" t="s">
        <v>3</v>
      </c>
      <c r="C7" s="90"/>
      <c r="D7" s="90"/>
    </row>
    <row r="8" spans="2:8">
      <c r="B8" t="s">
        <v>4</v>
      </c>
    </row>
    <row r="9" spans="2:8">
      <c r="B9" t="s">
        <v>5</v>
      </c>
    </row>
    <row r="11" spans="2:8">
      <c r="B11" s="89" t="s">
        <v>6</v>
      </c>
      <c r="C11" s="90"/>
    </row>
    <row r="12" spans="2:8">
      <c r="B12" t="s">
        <v>7</v>
      </c>
      <c r="E12" s="33">
        <f>Assumptions!C3</f>
        <v>5000000</v>
      </c>
    </row>
    <row r="13" spans="2:8">
      <c r="B13" t="s">
        <v>8</v>
      </c>
      <c r="E13" s="34">
        <f>Assumptions!C5</f>
        <v>0.1</v>
      </c>
    </row>
    <row r="14" spans="2:8">
      <c r="B14" t="s">
        <v>9</v>
      </c>
      <c r="E14" s="11">
        <f>Financial_Model!C20</f>
        <v>0.1</v>
      </c>
    </row>
    <row r="15" spans="2:8">
      <c r="B15" t="s">
        <v>10</v>
      </c>
      <c r="E15" s="14">
        <f>Financial_Model!C21</f>
        <v>-341182.61420295388</v>
      </c>
    </row>
    <row r="16" spans="2:8">
      <c r="B16" t="s">
        <v>11</v>
      </c>
      <c r="E16" s="11">
        <f>Financial_Model!C22</f>
        <v>7.6621435633456469E-2</v>
      </c>
    </row>
    <row r="18" spans="2:5">
      <c r="B18" s="89" t="s">
        <v>12</v>
      </c>
      <c r="C18" s="90"/>
      <c r="D18" s="90"/>
    </row>
    <row r="19" spans="2:5">
      <c r="B19" t="s">
        <v>13</v>
      </c>
    </row>
    <row r="20" spans="2:5">
      <c r="B20" t="s">
        <v>14</v>
      </c>
    </row>
    <row r="22" spans="2:5">
      <c r="B22" s="23" t="s">
        <v>15</v>
      </c>
      <c r="C22" s="23"/>
      <c r="D22" s="23"/>
    </row>
    <row r="23" spans="2:5">
      <c r="B23" t="s">
        <v>16</v>
      </c>
      <c r="D23" t="s">
        <v>17</v>
      </c>
    </row>
    <row r="24" spans="2:5">
      <c r="B24" t="s">
        <v>18</v>
      </c>
      <c r="D24" t="s">
        <v>19</v>
      </c>
    </row>
    <row r="26" spans="2:5">
      <c r="B26" s="23" t="s">
        <v>20</v>
      </c>
      <c r="C26" s="23"/>
      <c r="D26" s="23"/>
      <c r="E26" s="17"/>
    </row>
    <row r="27" spans="2:5">
      <c r="B27" t="s">
        <v>21</v>
      </c>
    </row>
    <row r="28" spans="2:5">
      <c r="B28" t="s">
        <v>22</v>
      </c>
    </row>
    <row r="29" spans="2:5">
      <c r="B29" t="s">
        <v>23</v>
      </c>
    </row>
    <row r="31" spans="2:5">
      <c r="B31" s="89" t="s">
        <v>24</v>
      </c>
      <c r="C31" s="90"/>
      <c r="D31" s="90"/>
    </row>
    <row r="32" spans="2:5">
      <c r="B32" t="s">
        <v>25</v>
      </c>
    </row>
    <row r="33" spans="2:2">
      <c r="B33" t="s">
        <v>26</v>
      </c>
    </row>
  </sheetData>
  <mergeCells count="6">
    <mergeCell ref="B31:D31"/>
    <mergeCell ref="B11:C11"/>
    <mergeCell ref="B18:D18"/>
    <mergeCell ref="B2:H2"/>
    <mergeCell ref="B7:D7"/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19"/>
  <sheetViews>
    <sheetView zoomScaleNormal="100" workbookViewId="0">
      <selection activeCell="M13" sqref="M13"/>
    </sheetView>
  </sheetViews>
  <sheetFormatPr defaultRowHeight="14.5"/>
  <cols>
    <col min="2" max="2" width="16.7265625" customWidth="1"/>
    <col min="3" max="3" width="13.36328125" customWidth="1"/>
    <col min="4" max="5" width="11.453125" customWidth="1"/>
    <col min="6" max="6" width="19.7265625" customWidth="1"/>
    <col min="7" max="9" width="15.36328125" style="15" customWidth="1"/>
    <col min="12" max="12" width="24.08984375" customWidth="1"/>
    <col min="13" max="17" width="10.08984375" customWidth="1"/>
    <col min="22" max="22" width="17.453125" customWidth="1"/>
    <col min="23" max="25" width="16.6328125" customWidth="1"/>
  </cols>
  <sheetData>
    <row r="2" spans="2:25" ht="18.5" customHeight="1">
      <c r="B2" s="36" t="s">
        <v>68</v>
      </c>
      <c r="C2" s="15" t="s">
        <v>69</v>
      </c>
      <c r="G2" s="19" t="s">
        <v>69</v>
      </c>
      <c r="H2" s="18" t="s">
        <v>70</v>
      </c>
      <c r="I2" s="20" t="s">
        <v>71</v>
      </c>
      <c r="L2" s="13" t="s">
        <v>42</v>
      </c>
      <c r="V2" t="s">
        <v>72</v>
      </c>
      <c r="W2" s="15"/>
      <c r="X2" s="15"/>
      <c r="Y2" s="15"/>
    </row>
    <row r="3" spans="2:25" ht="20" customHeight="1">
      <c r="B3" s="42" t="s">
        <v>7</v>
      </c>
      <c r="C3" s="43">
        <f>CHOOSE(MATCH($C$2, {"Base Case","Best Case","Worst Case"}, 0), G3,H3,I3)</f>
        <v>5000000</v>
      </c>
      <c r="F3" s="42" t="s">
        <v>7</v>
      </c>
      <c r="G3" s="50">
        <v>5000000</v>
      </c>
      <c r="H3" s="50">
        <v>5000000</v>
      </c>
      <c r="I3" s="43">
        <v>5000000</v>
      </c>
      <c r="W3" s="32"/>
      <c r="X3" s="32"/>
      <c r="Y3" s="32"/>
    </row>
    <row r="4" spans="2:25" ht="20" customHeight="1">
      <c r="B4" s="44" t="s">
        <v>73</v>
      </c>
      <c r="C4" s="45">
        <f>CHOOSE(MATCH($C$2, {"Base Case","Best Case","Worst Case"}, 0), G4,H4,I4)</f>
        <v>5000000</v>
      </c>
      <c r="F4" s="44" t="s">
        <v>73</v>
      </c>
      <c r="G4" s="51">
        <v>5000000</v>
      </c>
      <c r="H4" s="51">
        <v>5500000</v>
      </c>
      <c r="I4" s="45">
        <v>4500000</v>
      </c>
      <c r="L4" s="59">
        <f>Financial_Model!C21</f>
        <v>-341182.61420295388</v>
      </c>
      <c r="M4" s="57">
        <v>-0.05</v>
      </c>
      <c r="N4" s="57">
        <v>0</v>
      </c>
      <c r="O4" s="57">
        <v>0.05</v>
      </c>
      <c r="P4" s="57">
        <v>0.1</v>
      </c>
      <c r="Q4" s="58">
        <v>0.15</v>
      </c>
      <c r="W4" s="32"/>
      <c r="X4" s="33"/>
      <c r="Y4" s="32"/>
    </row>
    <row r="5" spans="2:25" ht="20" customHeight="1">
      <c r="B5" s="44" t="s">
        <v>74</v>
      </c>
      <c r="C5" s="46">
        <f>CHOOSE(MATCH($C$2, {"Base Case","Best Case","Worst Case"}, 0),G5,H5,I5)</f>
        <v>0.1</v>
      </c>
      <c r="F5" s="44" t="s">
        <v>74</v>
      </c>
      <c r="G5" s="52">
        <v>0.1</v>
      </c>
      <c r="H5" s="52">
        <v>0.15</v>
      </c>
      <c r="I5" s="46">
        <v>0.05</v>
      </c>
      <c r="L5" s="55">
        <v>0.08</v>
      </c>
      <c r="M5" s="25">
        <f t="dataTable" ref="M5:Q9" dt2D="1" dtr="1" r1="C5" r2="C13"/>
        <v>-2761863.6542615891</v>
      </c>
      <c r="N5" s="25">
        <v>-1911211.4662069739</v>
      </c>
      <c r="O5" s="25">
        <v>-1024092.1100324281</v>
      </c>
      <c r="P5" s="25">
        <v>-51535.112678790465</v>
      </c>
      <c r="Q5" s="28">
        <v>1012491.3645834411</v>
      </c>
      <c r="W5" s="16"/>
      <c r="X5" s="34"/>
      <c r="Y5" s="34"/>
    </row>
    <row r="6" spans="2:25" ht="20" customHeight="1">
      <c r="B6" s="47" t="s">
        <v>75</v>
      </c>
      <c r="C6" s="46">
        <f>CHOOSE(MATCH($C$2, {"Base Case","Best Case","Worst Case"}, 0),G6,H6,I6)</f>
        <v>0.4</v>
      </c>
      <c r="D6" s="41"/>
      <c r="F6" s="47" t="s">
        <v>76</v>
      </c>
      <c r="G6" s="52">
        <v>0.4</v>
      </c>
      <c r="H6" s="52">
        <v>0.35</v>
      </c>
      <c r="I6" s="46">
        <v>0.45</v>
      </c>
      <c r="L6" s="55">
        <v>0.09</v>
      </c>
      <c r="M6" s="25">
        <v>-2812297.6028156471</v>
      </c>
      <c r="N6" s="25">
        <v>-1992118.0209359298</v>
      </c>
      <c r="O6" s="25">
        <v>-1136831.3696335792</v>
      </c>
      <c r="P6" s="25">
        <v>-199575.16066357866</v>
      </c>
      <c r="Q6" s="28">
        <v>825421.26551158261</v>
      </c>
      <c r="W6" s="16"/>
      <c r="X6" s="16"/>
      <c r="Y6" s="16"/>
    </row>
    <row r="7" spans="2:25" ht="20" customHeight="1">
      <c r="B7" s="47" t="s">
        <v>77</v>
      </c>
      <c r="C7" s="45">
        <f>CHOOSE(MATCH($C$2, {"Base Case","Best Case","Worst Case"}, 0),G7,H7,I7)</f>
        <v>1500000</v>
      </c>
      <c r="F7" s="47" t="s">
        <v>77</v>
      </c>
      <c r="G7" s="51">
        <v>1500000</v>
      </c>
      <c r="H7" s="51">
        <v>1400000</v>
      </c>
      <c r="I7" s="45">
        <v>1600000</v>
      </c>
      <c r="L7" s="55">
        <v>0.1</v>
      </c>
      <c r="M7" s="25">
        <v>-2860871.0920764236</v>
      </c>
      <c r="N7" s="25">
        <v>-2069740.648614415</v>
      </c>
      <c r="O7" s="25">
        <v>-1244799.1316415309</v>
      </c>
      <c r="P7" s="25">
        <v>-341182.61420295388</v>
      </c>
      <c r="Q7" s="28">
        <v>646631.99886991829</v>
      </c>
      <c r="W7" s="32"/>
      <c r="X7" s="32"/>
      <c r="Y7" s="32"/>
    </row>
    <row r="8" spans="2:25" ht="20" customHeight="1">
      <c r="B8" s="44" t="s">
        <v>78</v>
      </c>
      <c r="C8" s="46">
        <f>CHOOSE(MATCH($C$2, {"Base Case","Best Case","Worst Case"}, 0),G8,H8,I8)</f>
        <v>0.03</v>
      </c>
      <c r="F8" s="47" t="s">
        <v>78</v>
      </c>
      <c r="G8" s="52">
        <v>0.03</v>
      </c>
      <c r="H8" s="52">
        <v>0.02</v>
      </c>
      <c r="I8" s="46">
        <v>0.06</v>
      </c>
      <c r="L8" s="55">
        <v>0.11</v>
      </c>
      <c r="M8" s="25">
        <v>-2907674.7399909366</v>
      </c>
      <c r="N8" s="25">
        <v>-2144250.403503478</v>
      </c>
      <c r="O8" s="25">
        <v>-1348250.5052564056</v>
      </c>
      <c r="P8" s="25">
        <v>-476706.87896960322</v>
      </c>
      <c r="Q8" s="28">
        <v>475668.79432266578</v>
      </c>
      <c r="W8" s="16"/>
      <c r="X8" s="16"/>
      <c r="Y8" s="16"/>
    </row>
    <row r="9" spans="2:25" ht="20" customHeight="1">
      <c r="B9" s="44" t="s">
        <v>79</v>
      </c>
      <c r="C9" s="46">
        <f>CHOOSE(MATCH($C$2, {"Base Case","Best Case","Worst Case"}, 0),G9,H9,I9)</f>
        <v>0.2</v>
      </c>
      <c r="F9" s="47" t="s">
        <v>79</v>
      </c>
      <c r="G9" s="52">
        <v>0.2</v>
      </c>
      <c r="H9" s="52">
        <v>0.2</v>
      </c>
      <c r="I9" s="46">
        <v>0.2</v>
      </c>
      <c r="L9" s="56">
        <v>0.12</v>
      </c>
      <c r="M9" s="30">
        <v>-2952793.7965191067</v>
      </c>
      <c r="N9" s="30">
        <v>-2215807.6888412563</v>
      </c>
      <c r="O9" s="30">
        <v>-1447424.4289950877</v>
      </c>
      <c r="P9" s="30">
        <v>-606474.97712207492</v>
      </c>
      <c r="Q9" s="31">
        <v>312106.2281754883</v>
      </c>
      <c r="W9" s="16"/>
      <c r="X9" s="16"/>
      <c r="Y9" s="16"/>
    </row>
    <row r="10" spans="2:25" ht="20" customHeight="1">
      <c r="B10" s="47" t="s">
        <v>55</v>
      </c>
      <c r="C10" s="45">
        <f>CHOOSE(MATCH($C$2, {"Base Case","Best Case","Worst Case"}, 0),G10,H10,I10)</f>
        <v>1000000</v>
      </c>
      <c r="F10" s="47" t="s">
        <v>55</v>
      </c>
      <c r="G10" s="51">
        <v>1000000</v>
      </c>
      <c r="H10" s="51">
        <v>1000000</v>
      </c>
      <c r="I10" s="45">
        <v>1000000</v>
      </c>
      <c r="W10" s="32"/>
      <c r="X10" s="32"/>
      <c r="Y10" s="32"/>
    </row>
    <row r="11" spans="2:25" ht="20" customHeight="1">
      <c r="B11" s="47" t="s">
        <v>80</v>
      </c>
      <c r="C11" s="45">
        <f>CHOOSE(MATCH($C$2, {"Base Case","Best Case","Worst Case"}, 0),G11,H11,I11)</f>
        <v>500000</v>
      </c>
      <c r="F11" s="47" t="s">
        <v>80</v>
      </c>
      <c r="G11" s="51">
        <v>500000</v>
      </c>
      <c r="H11" s="51">
        <v>450000</v>
      </c>
      <c r="I11" s="45">
        <v>600000</v>
      </c>
      <c r="W11" s="32"/>
      <c r="X11" s="32"/>
      <c r="Y11" s="32"/>
    </row>
    <row r="12" spans="2:25" ht="20" customHeight="1">
      <c r="B12" s="47" t="s">
        <v>81</v>
      </c>
      <c r="C12" s="46">
        <f>CHOOSE(MATCH($C$2, {"Base Case","Best Case","Worst Case"}, 0),G12,H12,I12)</f>
        <v>0.05</v>
      </c>
      <c r="F12" s="47" t="s">
        <v>81</v>
      </c>
      <c r="G12" s="52">
        <v>0.05</v>
      </c>
      <c r="H12" s="52">
        <v>0.05</v>
      </c>
      <c r="I12" s="46">
        <v>0.05</v>
      </c>
      <c r="W12" s="35"/>
      <c r="X12" s="35"/>
      <c r="Y12" s="35"/>
    </row>
    <row r="13" spans="2:25" ht="20" customHeight="1">
      <c r="B13" s="47" t="s">
        <v>9</v>
      </c>
      <c r="C13" s="46">
        <f>CHOOSE(MATCH($C$2, {"Base Case","Best Case","Worst Case"}, 0),G13,H13,I13)</f>
        <v>0.1</v>
      </c>
      <c r="F13" s="47" t="s">
        <v>9</v>
      </c>
      <c r="G13" s="52">
        <v>0.1</v>
      </c>
      <c r="H13" s="52">
        <v>0.08</v>
      </c>
      <c r="I13" s="46">
        <v>0.12</v>
      </c>
      <c r="W13" s="16"/>
      <c r="X13" s="16"/>
      <c r="Y13" s="16"/>
    </row>
    <row r="14" spans="2:25" ht="20" customHeight="1">
      <c r="B14" s="48" t="s">
        <v>82</v>
      </c>
      <c r="C14" s="49">
        <f>CHOOSE(MATCH($C$2, {"Base Case","Best Case","Worst Case"}, 0),G14,H14,I14)</f>
        <v>0</v>
      </c>
      <c r="F14" s="48" t="s">
        <v>82</v>
      </c>
      <c r="G14" s="53"/>
      <c r="H14" s="53"/>
      <c r="I14" s="54"/>
      <c r="Q14" s="17">
        <v>0</v>
      </c>
      <c r="W14" s="35"/>
      <c r="X14" s="35"/>
      <c r="Y14" s="35"/>
    </row>
    <row r="15" spans="2:25" ht="19.5" customHeight="1"/>
    <row r="16" spans="2:25" ht="19.5" customHeight="1"/>
    <row r="17" ht="19.5" customHeight="1"/>
    <row r="18" ht="19.5" customHeight="1"/>
    <row r="19" ht="17" customHeight="1"/>
  </sheetData>
  <conditionalFormatting sqref="C2">
    <cfRule type="cellIs" dxfId="3" priority="8" operator="equal">
      <formula>$I$2</formula>
    </cfRule>
    <cfRule type="cellIs" dxfId="2" priority="9" operator="equal">
      <formula>$H$2</formula>
    </cfRule>
    <cfRule type="cellIs" dxfId="1" priority="10" operator="equal">
      <formula>$G$2</formula>
    </cfRule>
  </conditionalFormatting>
  <conditionalFormatting sqref="M5:Q9">
    <cfRule type="cellIs" dxfId="0" priority="1" operator="greaterThan">
      <formula>0</formula>
    </cfRule>
  </conditionalFormatting>
  <dataValidations count="1">
    <dataValidation type="list" allowBlank="1" showInputMessage="1" showErrorMessage="1" sqref="C2" xr:uid="{00000000-0002-0000-0300-000000000000}">
      <formula1>"Base Case, Best Case, Worst Case"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J28"/>
  <sheetViews>
    <sheetView workbookViewId="0">
      <selection activeCell="D26" sqref="D26"/>
    </sheetView>
  </sheetViews>
  <sheetFormatPr defaultRowHeight="14.5"/>
  <cols>
    <col min="1" max="1" width="25" customWidth="1"/>
    <col min="2" max="2" width="19.54296875" customWidth="1"/>
    <col min="3" max="7" width="14.54296875" customWidth="1"/>
    <col min="9" max="9" width="14.6328125" customWidth="1"/>
  </cols>
  <sheetData>
    <row r="1" spans="1:10">
      <c r="A1" s="5" t="s">
        <v>28</v>
      </c>
    </row>
    <row r="2" spans="1:10">
      <c r="A2" s="15" t="str">
        <f>Assumptions!C2</f>
        <v>Base Case</v>
      </c>
    </row>
    <row r="3" spans="1:10">
      <c r="A3" s="5"/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</row>
    <row r="4" spans="1:10">
      <c r="A4" s="6" t="s">
        <v>49</v>
      </c>
      <c r="B4" s="7">
        <v>0</v>
      </c>
      <c r="C4" s="7">
        <f>Assumptions!$C$4</f>
        <v>5000000</v>
      </c>
      <c r="D4" s="7">
        <f>C4*(1+Assumptions!$C$5)</f>
        <v>5500000</v>
      </c>
      <c r="E4" s="7">
        <f>D4*(1+Assumptions!$C$5)</f>
        <v>6050000.0000000009</v>
      </c>
      <c r="F4" s="7">
        <f>E4*(1+Assumptions!$C$5)</f>
        <v>6655000.0000000019</v>
      </c>
      <c r="G4" s="7">
        <f>F4*(1+Assumptions!$C$5)</f>
        <v>7320500.0000000028</v>
      </c>
    </row>
    <row r="5" spans="1:10">
      <c r="A5" s="21" t="s">
        <v>50</v>
      </c>
      <c r="B5" s="22">
        <v>0</v>
      </c>
      <c r="C5" s="22">
        <f>C4*Assumptions!$C$6</f>
        <v>2000000</v>
      </c>
      <c r="D5" s="22">
        <f>D4*Assumptions!$C$6</f>
        <v>2200000</v>
      </c>
      <c r="E5" s="22">
        <f>E4*Assumptions!$C$6</f>
        <v>2420000.0000000005</v>
      </c>
      <c r="F5" s="22">
        <f>F4*Assumptions!$C$6</f>
        <v>2662000.0000000009</v>
      </c>
      <c r="G5" s="22">
        <f>G4*Assumptions!$C$6</f>
        <v>2928200.0000000014</v>
      </c>
    </row>
    <row r="6" spans="1:10">
      <c r="A6" s="39" t="s">
        <v>51</v>
      </c>
      <c r="B6" s="40">
        <v>0</v>
      </c>
      <c r="C6" s="40">
        <f>C4-C5</f>
        <v>3000000</v>
      </c>
      <c r="D6" s="40">
        <f>D4-D5</f>
        <v>3300000</v>
      </c>
      <c r="E6" s="40">
        <f>E4-E5</f>
        <v>3630000.0000000005</v>
      </c>
      <c r="F6" s="40">
        <f>F4-F5</f>
        <v>3993000.0000000009</v>
      </c>
      <c r="G6" s="40">
        <f>G4-G5</f>
        <v>4392300.0000000019</v>
      </c>
      <c r="J6" t="s">
        <v>52</v>
      </c>
    </row>
    <row r="7" spans="1:10">
      <c r="A7" s="37" t="s">
        <v>53</v>
      </c>
      <c r="B7" s="38">
        <v>0</v>
      </c>
      <c r="C7" s="38">
        <f>Assumptions!C7</f>
        <v>1500000</v>
      </c>
      <c r="D7" s="38">
        <f>C7 * (1 + Assumptions!$C$8)</f>
        <v>1545000</v>
      </c>
      <c r="E7" s="38">
        <f>D7 * (1 + Assumptions!$C$8)</f>
        <v>1591350</v>
      </c>
      <c r="F7" s="38">
        <f>E7 * (1 + Assumptions!$C$8)</f>
        <v>1639090.5</v>
      </c>
      <c r="G7" s="38">
        <f>F7 * (1 + Assumptions!$C$8)</f>
        <v>1688263.2150000001</v>
      </c>
    </row>
    <row r="8" spans="1:10">
      <c r="A8" s="8" t="s">
        <v>54</v>
      </c>
      <c r="B8" s="9">
        <v>0</v>
      </c>
      <c r="C8" s="9">
        <f>C6-C7</f>
        <v>1500000</v>
      </c>
      <c r="D8" s="9">
        <f>D6-D7</f>
        <v>1755000</v>
      </c>
      <c r="E8" s="9">
        <f>E6-E7</f>
        <v>2038650.0000000005</v>
      </c>
      <c r="F8" s="9">
        <f>F6-F7</f>
        <v>2353909.5000000009</v>
      </c>
      <c r="G8" s="9">
        <f>G6-G7</f>
        <v>2704036.785000002</v>
      </c>
    </row>
    <row r="9" spans="1:10">
      <c r="A9" s="21" t="s">
        <v>55</v>
      </c>
      <c r="B9" s="22">
        <v>0</v>
      </c>
      <c r="C9" s="22">
        <f>Assumptions!$C$10</f>
        <v>1000000</v>
      </c>
      <c r="D9" s="22">
        <f>Assumptions!$C$10</f>
        <v>1000000</v>
      </c>
      <c r="E9" s="22">
        <f>Assumptions!$C$10</f>
        <v>1000000</v>
      </c>
      <c r="F9" s="22">
        <f>Assumptions!$C$10</f>
        <v>1000000</v>
      </c>
      <c r="G9" s="22">
        <f>Assumptions!$C$10</f>
        <v>1000000</v>
      </c>
    </row>
    <row r="10" spans="1:10">
      <c r="A10" s="8" t="s">
        <v>56</v>
      </c>
      <c r="B10" s="9">
        <v>0</v>
      </c>
      <c r="C10" s="9">
        <f>C8-C9</f>
        <v>500000</v>
      </c>
      <c r="D10" s="9">
        <f>D8-D9</f>
        <v>755000</v>
      </c>
      <c r="E10" s="9">
        <f>E8-E9</f>
        <v>1038650.0000000005</v>
      </c>
      <c r="F10" s="9">
        <f>F8-F9</f>
        <v>1353909.5000000009</v>
      </c>
      <c r="G10" s="9">
        <f>G8-G9</f>
        <v>1704036.785000002</v>
      </c>
    </row>
    <row r="11" spans="1:10">
      <c r="A11" s="21" t="s">
        <v>57</v>
      </c>
      <c r="B11" s="22">
        <v>0</v>
      </c>
      <c r="C11" s="22">
        <f>MAX(0, C10*Assumptions!$C$9)</f>
        <v>100000</v>
      </c>
      <c r="D11" s="22">
        <f>MAX(0, D10*Assumptions!$C$9)</f>
        <v>151000</v>
      </c>
      <c r="E11" s="22">
        <f>MAX(0, E10*Assumptions!$C$9)</f>
        <v>207730.00000000012</v>
      </c>
      <c r="F11" s="22">
        <f>MAX(0, F10*Assumptions!$C$9)</f>
        <v>270781.9000000002</v>
      </c>
      <c r="G11" s="22">
        <f>MAX(0, G10*Assumptions!$C$9)</f>
        <v>340807.35700000043</v>
      </c>
    </row>
    <row r="12" spans="1:10">
      <c r="A12" s="8" t="s">
        <v>58</v>
      </c>
      <c r="B12" s="9">
        <v>0</v>
      </c>
      <c r="C12" s="9">
        <f>C10-C11</f>
        <v>400000</v>
      </c>
      <c r="D12" s="9">
        <f>D10-D11</f>
        <v>604000</v>
      </c>
      <c r="E12" s="9">
        <f>E10-E11</f>
        <v>830920.00000000035</v>
      </c>
      <c r="F12" s="9">
        <f>F10-F11</f>
        <v>1083127.6000000008</v>
      </c>
      <c r="G12" s="9">
        <f>G10-G11</f>
        <v>1363229.4280000017</v>
      </c>
    </row>
    <row r="13" spans="1:10">
      <c r="A13" s="6" t="s">
        <v>59</v>
      </c>
      <c r="B13" s="7">
        <v>0</v>
      </c>
      <c r="C13" s="7">
        <f>C9</f>
        <v>1000000</v>
      </c>
      <c r="D13" s="7">
        <f>D9</f>
        <v>1000000</v>
      </c>
      <c r="E13" s="7">
        <f>E9</f>
        <v>1000000</v>
      </c>
      <c r="F13" s="7">
        <f>F9</f>
        <v>1000000</v>
      </c>
      <c r="G13" s="7">
        <f>G9</f>
        <v>1000000</v>
      </c>
    </row>
    <row r="14" spans="1:10">
      <c r="A14" s="21" t="s">
        <v>60</v>
      </c>
      <c r="B14" s="22">
        <f>-Assumptions!C3</f>
        <v>-5000000</v>
      </c>
      <c r="C14" s="22">
        <f>-Assumptions!$C$11</f>
        <v>-500000</v>
      </c>
      <c r="D14" s="22">
        <f>-Assumptions!$C$11</f>
        <v>-500000</v>
      </c>
      <c r="E14" s="22">
        <f>-Assumptions!$C$11</f>
        <v>-500000</v>
      </c>
      <c r="F14" s="22">
        <f>-Assumptions!$C$11</f>
        <v>-500000</v>
      </c>
      <c r="G14" s="22">
        <f>-Assumptions!$C$11</f>
        <v>-500000</v>
      </c>
    </row>
    <row r="15" spans="1:10">
      <c r="A15" t="s">
        <v>61</v>
      </c>
      <c r="B15">
        <v>0</v>
      </c>
      <c r="C15" s="14">
        <f>C4*Assumptions!$C$12</f>
        <v>250000</v>
      </c>
      <c r="D15" s="14">
        <f>D4*Assumptions!$C$12</f>
        <v>275000</v>
      </c>
      <c r="E15" s="14">
        <f>E4*Assumptions!$C$12</f>
        <v>302500.00000000006</v>
      </c>
      <c r="F15" s="14">
        <f>F4*Assumptions!$C$12</f>
        <v>332750.00000000012</v>
      </c>
      <c r="G15" s="14">
        <f>G4*Assumptions!$C$12</f>
        <v>366025.00000000017</v>
      </c>
    </row>
    <row r="16" spans="1:10">
      <c r="A16" s="21" t="s">
        <v>62</v>
      </c>
      <c r="B16" s="22">
        <v>0</v>
      </c>
      <c r="C16" s="22">
        <f>-C15</f>
        <v>-250000</v>
      </c>
      <c r="D16" s="22">
        <f>-(D15-C15)</f>
        <v>-25000</v>
      </c>
      <c r="E16" s="22">
        <f>-(E15-D15)</f>
        <v>-27500.000000000058</v>
      </c>
      <c r="F16" s="22">
        <f>-(F15-E15)</f>
        <v>-30250.000000000058</v>
      </c>
      <c r="G16" s="22">
        <f>-(G15-F15)</f>
        <v>-33275.000000000058</v>
      </c>
    </row>
    <row r="17" spans="1:7">
      <c r="A17" s="72" t="s">
        <v>63</v>
      </c>
      <c r="B17" s="73">
        <f t="shared" ref="B17:G17" si="0">B12+B13+B14+B16</f>
        <v>-5000000</v>
      </c>
      <c r="C17" s="73">
        <f t="shared" si="0"/>
        <v>650000</v>
      </c>
      <c r="D17" s="73">
        <f t="shared" si="0"/>
        <v>1079000</v>
      </c>
      <c r="E17" s="73">
        <f t="shared" si="0"/>
        <v>1303420.0000000005</v>
      </c>
      <c r="F17" s="73">
        <f t="shared" si="0"/>
        <v>1552877.6000000008</v>
      </c>
      <c r="G17" s="73">
        <f t="shared" si="0"/>
        <v>1829954.4280000017</v>
      </c>
    </row>
    <row r="19" spans="1:7">
      <c r="B19" s="10" t="s">
        <v>64</v>
      </c>
    </row>
    <row r="20" spans="1:7">
      <c r="B20" t="s">
        <v>65</v>
      </c>
      <c r="C20" s="11">
        <f>Assumptions!$C$13</f>
        <v>0.1</v>
      </c>
    </row>
    <row r="21" spans="1:7">
      <c r="B21" t="s">
        <v>10</v>
      </c>
      <c r="C21" s="4">
        <f>NPV(C20, C17:G17) + B17</f>
        <v>-341182.61420295388</v>
      </c>
    </row>
    <row r="22" spans="1:7">
      <c r="B22" t="s">
        <v>11</v>
      </c>
      <c r="C22" s="12">
        <f>IRR(B17:G17)</f>
        <v>7.6621435633456469E-2</v>
      </c>
    </row>
    <row r="26" spans="1:7">
      <c r="B26" s="17" t="s">
        <v>66</v>
      </c>
      <c r="C26" s="63">
        <f>C21</f>
        <v>-341182.61420295388</v>
      </c>
    </row>
    <row r="27" spans="1:7">
      <c r="B27" s="17"/>
      <c r="C27" s="64">
        <v>0.1177725505421193</v>
      </c>
    </row>
    <row r="28" spans="1:7">
      <c r="B28" s="17" t="s">
        <v>67</v>
      </c>
      <c r="C28" s="64">
        <v>7.6621435632442156E-2</v>
      </c>
    </row>
  </sheetData>
  <dataValidations count="1">
    <dataValidation type="list" allowBlank="1" showInputMessage="1" showErrorMessage="1" sqref="J3 J5" xr:uid="{00000000-0002-0000-0200-000000000000}">
      <formula1>"Base Case, Best Case, Worst Case"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"/>
  <sheetViews>
    <sheetView topLeftCell="K1" workbookViewId="0">
      <pane ySplit="1" topLeftCell="A2" activePane="bottomLeft" state="frozen"/>
      <selection pane="bottomLeft" activeCell="S1" sqref="S1:S2"/>
    </sheetView>
  </sheetViews>
  <sheetFormatPr defaultRowHeight="14.5"/>
  <cols>
    <col min="1" max="2" width="12" customWidth="1"/>
    <col min="3" max="3" width="19" customWidth="1"/>
    <col min="4" max="7" width="20" customWidth="1"/>
    <col min="8" max="8" width="14" customWidth="1"/>
    <col min="9" max="11" width="20" customWidth="1"/>
    <col min="12" max="12" width="18" customWidth="1"/>
    <col min="13" max="13" width="14.54296875" customWidth="1"/>
    <col min="14" max="14" width="20" customWidth="1"/>
    <col min="15" max="15" width="21" customWidth="1"/>
    <col min="16" max="16" width="20" customWidth="1"/>
    <col min="17" max="17" width="12" customWidth="1"/>
    <col min="19" max="19" width="32" customWidth="1"/>
  </cols>
  <sheetData>
    <row r="1" spans="1:19" ht="32" customHeight="1">
      <c r="A1" s="82" t="s">
        <v>83</v>
      </c>
      <c r="B1" s="82" t="s">
        <v>84</v>
      </c>
      <c r="C1" s="82" t="s">
        <v>49</v>
      </c>
      <c r="D1" s="82" t="s">
        <v>85</v>
      </c>
      <c r="E1" s="82" t="s">
        <v>51</v>
      </c>
      <c r="F1" s="82" t="s">
        <v>53</v>
      </c>
      <c r="G1" s="82" t="s">
        <v>54</v>
      </c>
      <c r="H1" s="82" t="s">
        <v>55</v>
      </c>
      <c r="I1" s="82" t="s">
        <v>56</v>
      </c>
      <c r="J1" s="82" t="s">
        <v>86</v>
      </c>
      <c r="K1" s="82" t="s">
        <v>58</v>
      </c>
      <c r="L1" s="82" t="s">
        <v>87</v>
      </c>
      <c r="M1" s="82" t="s">
        <v>80</v>
      </c>
      <c r="N1" s="82" t="s">
        <v>61</v>
      </c>
      <c r="O1" s="82" t="s">
        <v>88</v>
      </c>
      <c r="P1" s="82" t="s">
        <v>89</v>
      </c>
      <c r="Q1" s="82" t="s">
        <v>9</v>
      </c>
      <c r="S1" s="83"/>
    </row>
    <row r="2" spans="1:19">
      <c r="A2" s="84" t="s">
        <v>69</v>
      </c>
      <c r="B2" s="85">
        <v>0</v>
      </c>
      <c r="C2" s="86">
        <v>0</v>
      </c>
      <c r="D2" s="86">
        <v>0</v>
      </c>
      <c r="E2" s="86">
        <v>0</v>
      </c>
      <c r="F2" s="86">
        <v>0</v>
      </c>
      <c r="G2" s="86">
        <v>0</v>
      </c>
      <c r="H2" s="86">
        <v>0</v>
      </c>
      <c r="I2" s="86">
        <v>0</v>
      </c>
      <c r="J2" s="86">
        <v>0</v>
      </c>
      <c r="K2" s="86">
        <v>0</v>
      </c>
      <c r="L2" s="86">
        <v>0</v>
      </c>
      <c r="M2" s="86">
        <v>-5000000</v>
      </c>
      <c r="N2" s="86">
        <v>0</v>
      </c>
      <c r="O2" s="86">
        <v>0</v>
      </c>
      <c r="P2" s="86">
        <v>-5000000</v>
      </c>
      <c r="Q2" s="87">
        <v>0.1</v>
      </c>
      <c r="S2" s="88"/>
    </row>
    <row r="3" spans="1:19">
      <c r="A3" s="84" t="s">
        <v>69</v>
      </c>
      <c r="B3" s="85">
        <v>1</v>
      </c>
      <c r="C3" s="86">
        <v>5000000</v>
      </c>
      <c r="D3" s="86">
        <v>2000000</v>
      </c>
      <c r="E3" s="86">
        <v>3000000</v>
      </c>
      <c r="F3" s="86">
        <v>1500000</v>
      </c>
      <c r="G3" s="86">
        <v>1500000</v>
      </c>
      <c r="H3" s="86">
        <v>1000000</v>
      </c>
      <c r="I3" s="86">
        <v>500000</v>
      </c>
      <c r="J3" s="86">
        <v>100000</v>
      </c>
      <c r="K3" s="86">
        <v>400000</v>
      </c>
      <c r="L3" s="86">
        <v>1000000</v>
      </c>
      <c r="M3" s="86">
        <v>-500000</v>
      </c>
      <c r="N3" s="86">
        <v>250000</v>
      </c>
      <c r="O3" s="86">
        <v>-250000</v>
      </c>
      <c r="P3" s="86">
        <v>650000</v>
      </c>
      <c r="Q3" s="87">
        <v>0.1</v>
      </c>
    </row>
    <row r="4" spans="1:19">
      <c r="A4" s="84" t="s">
        <v>69</v>
      </c>
      <c r="B4" s="85">
        <v>2</v>
      </c>
      <c r="C4" s="86">
        <v>5500000</v>
      </c>
      <c r="D4" s="86">
        <v>2200000</v>
      </c>
      <c r="E4" s="86">
        <v>3300000</v>
      </c>
      <c r="F4" s="86">
        <v>1545000</v>
      </c>
      <c r="G4" s="86">
        <v>1755000</v>
      </c>
      <c r="H4" s="86">
        <v>1000000</v>
      </c>
      <c r="I4" s="86">
        <v>755000</v>
      </c>
      <c r="J4" s="86">
        <v>151000</v>
      </c>
      <c r="K4" s="86">
        <v>604000</v>
      </c>
      <c r="L4" s="86">
        <v>1000000</v>
      </c>
      <c r="M4" s="86">
        <v>-500000</v>
      </c>
      <c r="N4" s="86">
        <v>275000</v>
      </c>
      <c r="O4" s="86">
        <v>-25000</v>
      </c>
      <c r="P4" s="86">
        <v>1079000</v>
      </c>
      <c r="Q4" s="87">
        <v>0.1</v>
      </c>
    </row>
    <row r="5" spans="1:19">
      <c r="A5" s="84" t="s">
        <v>69</v>
      </c>
      <c r="B5" s="85">
        <v>3</v>
      </c>
      <c r="C5" s="86">
        <v>6050000.0000000009</v>
      </c>
      <c r="D5" s="86">
        <v>2420000</v>
      </c>
      <c r="E5" s="86">
        <v>3630000</v>
      </c>
      <c r="F5" s="86">
        <v>1591350</v>
      </c>
      <c r="G5" s="86">
        <v>2038650</v>
      </c>
      <c r="H5" s="86">
        <v>1000000</v>
      </c>
      <c r="I5" s="86">
        <v>1038650</v>
      </c>
      <c r="J5" s="86">
        <v>207730.00000000009</v>
      </c>
      <c r="K5" s="86">
        <v>830920.00000000035</v>
      </c>
      <c r="L5" s="86">
        <v>1000000</v>
      </c>
      <c r="M5" s="86">
        <v>-500000</v>
      </c>
      <c r="N5" s="86">
        <v>302500.00000000012</v>
      </c>
      <c r="O5" s="86">
        <v>-27500.000000000058</v>
      </c>
      <c r="P5" s="86">
        <v>1303420</v>
      </c>
      <c r="Q5" s="87">
        <v>0.1</v>
      </c>
    </row>
    <row r="6" spans="1:19">
      <c r="A6" s="84" t="s">
        <v>69</v>
      </c>
      <c r="B6" s="85">
        <v>4</v>
      </c>
      <c r="C6" s="86">
        <v>6655000.0000000019</v>
      </c>
      <c r="D6" s="86">
        <v>2662000.0000000009</v>
      </c>
      <c r="E6" s="86">
        <v>3993000.0000000009</v>
      </c>
      <c r="F6" s="86">
        <v>1639090.5</v>
      </c>
      <c r="G6" s="86">
        <v>2353909.5000000009</v>
      </c>
      <c r="H6" s="86">
        <v>1000000</v>
      </c>
      <c r="I6" s="86">
        <v>1353909.5000000009</v>
      </c>
      <c r="J6" s="86">
        <v>270781.9000000002</v>
      </c>
      <c r="K6" s="86">
        <v>1083127.600000001</v>
      </c>
      <c r="L6" s="86">
        <v>1000000</v>
      </c>
      <c r="M6" s="86">
        <v>-500000</v>
      </c>
      <c r="N6" s="86">
        <v>332750.00000000012</v>
      </c>
      <c r="O6" s="86">
        <v>-30250.000000000058</v>
      </c>
      <c r="P6" s="86">
        <v>1552877.600000001</v>
      </c>
      <c r="Q6" s="87">
        <v>0.1</v>
      </c>
    </row>
    <row r="7" spans="1:19">
      <c r="A7" s="84" t="s">
        <v>69</v>
      </c>
      <c r="B7" s="85">
        <v>5</v>
      </c>
      <c r="C7" s="86">
        <v>7320500.0000000019</v>
      </c>
      <c r="D7" s="86">
        <v>2928200.0000000009</v>
      </c>
      <c r="E7" s="86">
        <v>4392300.0000000009</v>
      </c>
      <c r="F7" s="86">
        <v>1688263.2150000001</v>
      </c>
      <c r="G7" s="86">
        <v>2704036.7850000011</v>
      </c>
      <c r="H7" s="86">
        <v>1000000</v>
      </c>
      <c r="I7" s="86">
        <v>1704036.7850000011</v>
      </c>
      <c r="J7" s="86">
        <v>340807.35700000008</v>
      </c>
      <c r="K7" s="86">
        <v>1363229.428000001</v>
      </c>
      <c r="L7" s="86">
        <v>1000000</v>
      </c>
      <c r="M7" s="86">
        <v>-500000</v>
      </c>
      <c r="N7" s="86">
        <v>366025.00000000012</v>
      </c>
      <c r="O7" s="86">
        <v>-33275</v>
      </c>
      <c r="P7" s="86">
        <v>1829954.4280000001</v>
      </c>
      <c r="Q7" s="87">
        <v>0.1</v>
      </c>
    </row>
    <row r="8" spans="1:19">
      <c r="A8" s="84" t="s">
        <v>70</v>
      </c>
      <c r="B8" s="85">
        <v>0</v>
      </c>
      <c r="C8" s="86">
        <v>0</v>
      </c>
      <c r="D8" s="86">
        <v>0</v>
      </c>
      <c r="E8" s="86">
        <v>0</v>
      </c>
      <c r="F8" s="86">
        <v>0</v>
      </c>
      <c r="G8" s="86">
        <v>0</v>
      </c>
      <c r="H8" s="86">
        <v>0</v>
      </c>
      <c r="I8" s="86">
        <v>0</v>
      </c>
      <c r="J8" s="86">
        <v>0</v>
      </c>
      <c r="K8" s="86">
        <v>0</v>
      </c>
      <c r="L8" s="86">
        <v>0</v>
      </c>
      <c r="M8" s="86">
        <v>-5000000</v>
      </c>
      <c r="N8" s="86">
        <v>0</v>
      </c>
      <c r="O8" s="86">
        <v>0</v>
      </c>
      <c r="P8" s="86">
        <v>-5000000</v>
      </c>
      <c r="Q8" s="87">
        <v>0.08</v>
      </c>
    </row>
    <row r="9" spans="1:19">
      <c r="A9" s="84" t="s">
        <v>70</v>
      </c>
      <c r="B9" s="85">
        <v>1</v>
      </c>
      <c r="C9" s="86">
        <v>5500000</v>
      </c>
      <c r="D9" s="86">
        <v>1925000</v>
      </c>
      <c r="E9" s="86">
        <v>3575000</v>
      </c>
      <c r="F9" s="86">
        <v>1400000</v>
      </c>
      <c r="G9" s="86">
        <v>2175000</v>
      </c>
      <c r="H9" s="86">
        <v>1000000</v>
      </c>
      <c r="I9" s="86">
        <v>1175000</v>
      </c>
      <c r="J9" s="86">
        <v>235000</v>
      </c>
      <c r="K9" s="86">
        <v>940000</v>
      </c>
      <c r="L9" s="86">
        <v>1000000</v>
      </c>
      <c r="M9" s="86">
        <v>-450000</v>
      </c>
      <c r="N9" s="86">
        <v>275000</v>
      </c>
      <c r="O9" s="86">
        <v>-275000</v>
      </c>
      <c r="P9" s="86">
        <v>1215000</v>
      </c>
      <c r="Q9" s="87">
        <v>0.08</v>
      </c>
    </row>
    <row r="10" spans="1:19">
      <c r="A10" s="84" t="s">
        <v>70</v>
      </c>
      <c r="B10" s="85">
        <v>2</v>
      </c>
      <c r="C10" s="86">
        <v>6324999.9999999991</v>
      </c>
      <c r="D10" s="86">
        <v>2213750</v>
      </c>
      <c r="E10" s="86">
        <v>4111250</v>
      </c>
      <c r="F10" s="86">
        <v>1428000</v>
      </c>
      <c r="G10" s="86">
        <v>2683250</v>
      </c>
      <c r="H10" s="86">
        <v>1000000</v>
      </c>
      <c r="I10" s="86">
        <v>1683250</v>
      </c>
      <c r="J10" s="86">
        <v>336649.99999999988</v>
      </c>
      <c r="K10" s="86">
        <v>1346600</v>
      </c>
      <c r="L10" s="86">
        <v>1000000</v>
      </c>
      <c r="M10" s="86">
        <v>-450000</v>
      </c>
      <c r="N10" s="86">
        <v>316250</v>
      </c>
      <c r="O10" s="86">
        <v>-41250</v>
      </c>
      <c r="P10" s="86">
        <v>1855350</v>
      </c>
      <c r="Q10" s="87">
        <v>0.08</v>
      </c>
    </row>
    <row r="11" spans="1:19">
      <c r="A11" s="84" t="s">
        <v>70</v>
      </c>
      <c r="B11" s="85">
        <v>3</v>
      </c>
      <c r="C11" s="86">
        <v>7273749.9999999991</v>
      </c>
      <c r="D11" s="86">
        <v>2545812.5</v>
      </c>
      <c r="E11" s="86">
        <v>4727937.5</v>
      </c>
      <c r="F11" s="86">
        <v>1456560</v>
      </c>
      <c r="G11" s="86">
        <v>3271377.5</v>
      </c>
      <c r="H11" s="86">
        <v>1000000</v>
      </c>
      <c r="I11" s="86">
        <v>2271377.5</v>
      </c>
      <c r="J11" s="86">
        <v>454275.5</v>
      </c>
      <c r="K11" s="86">
        <v>1817102</v>
      </c>
      <c r="L11" s="86">
        <v>1000000</v>
      </c>
      <c r="M11" s="86">
        <v>-450000</v>
      </c>
      <c r="N11" s="86">
        <v>363687.5</v>
      </c>
      <c r="O11" s="86">
        <v>-47437.5</v>
      </c>
      <c r="P11" s="86">
        <v>2319664.5</v>
      </c>
      <c r="Q11" s="87">
        <v>0.08</v>
      </c>
    </row>
    <row r="12" spans="1:19">
      <c r="A12" s="84" t="s">
        <v>70</v>
      </c>
      <c r="B12" s="85">
        <v>4</v>
      </c>
      <c r="C12" s="86">
        <v>8364812.4999999991</v>
      </c>
      <c r="D12" s="86">
        <v>2927684.375</v>
      </c>
      <c r="E12" s="86">
        <v>5437128.125</v>
      </c>
      <c r="F12" s="86">
        <v>1485691.2</v>
      </c>
      <c r="G12" s="86">
        <v>3951436.9249999998</v>
      </c>
      <c r="H12" s="86">
        <v>1000000</v>
      </c>
      <c r="I12" s="86">
        <v>2951436.9249999998</v>
      </c>
      <c r="J12" s="86">
        <v>590287.38500000001</v>
      </c>
      <c r="K12" s="86">
        <v>2361149.54</v>
      </c>
      <c r="L12" s="86">
        <v>1000000</v>
      </c>
      <c r="M12" s="86">
        <v>-450000</v>
      </c>
      <c r="N12" s="86">
        <v>418240.625</v>
      </c>
      <c r="O12" s="86">
        <v>-54553.125</v>
      </c>
      <c r="P12" s="86">
        <v>2856596.415</v>
      </c>
      <c r="Q12" s="87">
        <v>0.08</v>
      </c>
    </row>
    <row r="13" spans="1:19">
      <c r="A13" s="84" t="s">
        <v>70</v>
      </c>
      <c r="B13" s="85">
        <v>5</v>
      </c>
      <c r="C13" s="86">
        <v>9619534.3749999963</v>
      </c>
      <c r="D13" s="86">
        <v>3366837.0312499991</v>
      </c>
      <c r="E13" s="86">
        <v>6252697.3437499981</v>
      </c>
      <c r="F13" s="86">
        <v>1515405.024</v>
      </c>
      <c r="G13" s="86">
        <v>4737292.3197499979</v>
      </c>
      <c r="H13" s="86">
        <v>1000000</v>
      </c>
      <c r="I13" s="86">
        <v>3737292.3197499979</v>
      </c>
      <c r="J13" s="86">
        <v>747458.46394999966</v>
      </c>
      <c r="K13" s="86">
        <v>2989833.8557999982</v>
      </c>
      <c r="L13" s="86">
        <v>1000000</v>
      </c>
      <c r="M13" s="86">
        <v>-450000</v>
      </c>
      <c r="N13" s="86">
        <v>480976.71874999983</v>
      </c>
      <c r="O13" s="86">
        <v>-62736.093749999833</v>
      </c>
      <c r="P13" s="86">
        <v>3477097.7620499982</v>
      </c>
      <c r="Q13" s="87">
        <v>0.08</v>
      </c>
    </row>
    <row r="14" spans="1:19">
      <c r="A14" s="84" t="s">
        <v>71</v>
      </c>
      <c r="B14" s="85">
        <v>0</v>
      </c>
      <c r="C14" s="86">
        <v>0</v>
      </c>
      <c r="D14" s="86">
        <v>0</v>
      </c>
      <c r="E14" s="86">
        <v>0</v>
      </c>
      <c r="F14" s="86">
        <v>0</v>
      </c>
      <c r="G14" s="86">
        <v>0</v>
      </c>
      <c r="H14" s="86">
        <v>0</v>
      </c>
      <c r="I14" s="86">
        <v>0</v>
      </c>
      <c r="J14" s="86">
        <v>0</v>
      </c>
      <c r="K14" s="86">
        <v>0</v>
      </c>
      <c r="L14" s="86">
        <v>0</v>
      </c>
      <c r="M14" s="86">
        <v>-5000000</v>
      </c>
      <c r="N14" s="86">
        <v>0</v>
      </c>
      <c r="O14" s="86">
        <v>0</v>
      </c>
      <c r="P14" s="86">
        <v>-5000000</v>
      </c>
      <c r="Q14" s="87">
        <v>0.12</v>
      </c>
    </row>
    <row r="15" spans="1:19">
      <c r="A15" s="84" t="s">
        <v>71</v>
      </c>
      <c r="B15" s="85">
        <v>1</v>
      </c>
      <c r="C15" s="86">
        <v>4500000</v>
      </c>
      <c r="D15" s="86">
        <v>2025000</v>
      </c>
      <c r="E15" s="86">
        <v>2475000</v>
      </c>
      <c r="F15" s="86">
        <v>1600000</v>
      </c>
      <c r="G15" s="86">
        <v>875000</v>
      </c>
      <c r="H15" s="86">
        <v>1000000</v>
      </c>
      <c r="I15" s="86">
        <v>-125000</v>
      </c>
      <c r="J15" s="86">
        <v>0</v>
      </c>
      <c r="K15" s="86">
        <v>-125000</v>
      </c>
      <c r="L15" s="86">
        <v>1000000</v>
      </c>
      <c r="M15" s="86">
        <v>-600000</v>
      </c>
      <c r="N15" s="86">
        <v>225000</v>
      </c>
      <c r="O15" s="86">
        <v>-225000</v>
      </c>
      <c r="P15" s="86">
        <v>50000</v>
      </c>
      <c r="Q15" s="87">
        <v>0.12</v>
      </c>
    </row>
    <row r="16" spans="1:19">
      <c r="A16" s="84" t="s">
        <v>71</v>
      </c>
      <c r="B16" s="85">
        <v>2</v>
      </c>
      <c r="C16" s="86">
        <v>4725000</v>
      </c>
      <c r="D16" s="86">
        <v>2126250</v>
      </c>
      <c r="E16" s="86">
        <v>2598750</v>
      </c>
      <c r="F16" s="86">
        <v>1696000</v>
      </c>
      <c r="G16" s="86">
        <v>902750</v>
      </c>
      <c r="H16" s="86">
        <v>1000000</v>
      </c>
      <c r="I16" s="86">
        <v>-97250</v>
      </c>
      <c r="J16" s="86">
        <v>0</v>
      </c>
      <c r="K16" s="86">
        <v>-97250</v>
      </c>
      <c r="L16" s="86">
        <v>1000000</v>
      </c>
      <c r="M16" s="86">
        <v>-600000</v>
      </c>
      <c r="N16" s="86">
        <v>236250</v>
      </c>
      <c r="O16" s="86">
        <v>-11250</v>
      </c>
      <c r="P16" s="86">
        <v>291500</v>
      </c>
      <c r="Q16" s="87">
        <v>0.12</v>
      </c>
    </row>
    <row r="17" spans="1:17">
      <c r="A17" s="84" t="s">
        <v>71</v>
      </c>
      <c r="B17" s="85">
        <v>3</v>
      </c>
      <c r="C17" s="86">
        <v>4961250</v>
      </c>
      <c r="D17" s="86">
        <v>2232562.5</v>
      </c>
      <c r="E17" s="86">
        <v>2728687.5</v>
      </c>
      <c r="F17" s="86">
        <v>1797760</v>
      </c>
      <c r="G17" s="86">
        <v>930927.49999999977</v>
      </c>
      <c r="H17" s="86">
        <v>1000000</v>
      </c>
      <c r="I17" s="86">
        <v>-69072.500000000233</v>
      </c>
      <c r="J17" s="86">
        <v>0</v>
      </c>
      <c r="K17" s="86">
        <v>-69072.500000000233</v>
      </c>
      <c r="L17" s="86">
        <v>1000000</v>
      </c>
      <c r="M17" s="86">
        <v>-600000</v>
      </c>
      <c r="N17" s="86">
        <v>248062.5</v>
      </c>
      <c r="O17" s="86">
        <v>-11812.5</v>
      </c>
      <c r="P17" s="86">
        <v>319114.99999999983</v>
      </c>
      <c r="Q17" s="87">
        <v>0.12</v>
      </c>
    </row>
    <row r="18" spans="1:17">
      <c r="A18" s="84" t="s">
        <v>71</v>
      </c>
      <c r="B18" s="85">
        <v>4</v>
      </c>
      <c r="C18" s="86">
        <v>5209312.5000000009</v>
      </c>
      <c r="D18" s="86">
        <v>2344190.625</v>
      </c>
      <c r="E18" s="86">
        <v>2865121.875</v>
      </c>
      <c r="F18" s="86">
        <v>1905625.6</v>
      </c>
      <c r="G18" s="86">
        <v>959496.27500000037</v>
      </c>
      <c r="H18" s="86">
        <v>1000000</v>
      </c>
      <c r="I18" s="86">
        <v>-40503.724999999627</v>
      </c>
      <c r="J18" s="86">
        <v>0</v>
      </c>
      <c r="K18" s="86">
        <v>-40503.724999999627</v>
      </c>
      <c r="L18" s="86">
        <v>1000000</v>
      </c>
      <c r="M18" s="86">
        <v>-600000</v>
      </c>
      <c r="N18" s="86">
        <v>260465.62500000009</v>
      </c>
      <c r="O18" s="86">
        <v>-12403.12500000006</v>
      </c>
      <c r="P18" s="86">
        <v>347093.15000000031</v>
      </c>
      <c r="Q18" s="87">
        <v>0.12</v>
      </c>
    </row>
    <row r="19" spans="1:17">
      <c r="A19" s="84" t="s">
        <v>71</v>
      </c>
      <c r="B19" s="85">
        <v>5</v>
      </c>
      <c r="C19" s="86">
        <v>5469778.1250000009</v>
      </c>
      <c r="D19" s="86">
        <v>2461400.15625</v>
      </c>
      <c r="E19" s="86">
        <v>3008377.96875</v>
      </c>
      <c r="F19" s="86">
        <v>2019963.1359999999</v>
      </c>
      <c r="G19" s="86">
        <v>988414.83275000006</v>
      </c>
      <c r="H19" s="86">
        <v>1000000</v>
      </c>
      <c r="I19" s="86">
        <v>-11585.16724999994</v>
      </c>
      <c r="J19" s="86">
        <v>0</v>
      </c>
      <c r="K19" s="86">
        <v>-11585.16724999994</v>
      </c>
      <c r="L19" s="86">
        <v>1000000</v>
      </c>
      <c r="M19" s="86">
        <v>-600000</v>
      </c>
      <c r="N19" s="86">
        <v>273488.90625000012</v>
      </c>
      <c r="O19" s="86">
        <v>-13023.28125</v>
      </c>
      <c r="P19" s="86">
        <v>375391.55150000012</v>
      </c>
      <c r="Q19" s="87">
        <v>0.12</v>
      </c>
    </row>
  </sheetData>
  <autoFilter ref="A1:Q1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5"/>
  <cols>
    <col min="1" max="2" width="12" customWidth="1"/>
    <col min="3" max="4" width="21" customWidth="1"/>
    <col min="5" max="5" width="19" customWidth="1"/>
    <col min="6" max="6" width="20" customWidth="1"/>
    <col min="7" max="7" width="16" customWidth="1"/>
    <col min="9" max="9" width="38" customWidth="1"/>
  </cols>
  <sheetData>
    <row r="1" spans="1:9" ht="32" customHeight="1">
      <c r="A1" s="82" t="s">
        <v>83</v>
      </c>
      <c r="B1" s="82" t="s">
        <v>9</v>
      </c>
      <c r="C1" s="82" t="s">
        <v>10</v>
      </c>
      <c r="D1" s="82" t="s">
        <v>11</v>
      </c>
      <c r="E1" s="82" t="s">
        <v>90</v>
      </c>
      <c r="F1" s="82" t="s">
        <v>91</v>
      </c>
      <c r="G1" s="82" t="s">
        <v>92</v>
      </c>
      <c r="I1" s="83"/>
    </row>
    <row r="2" spans="1:9">
      <c r="A2" s="84" t="s">
        <v>69</v>
      </c>
      <c r="B2" s="87">
        <v>0.1</v>
      </c>
      <c r="C2" s="86">
        <v>-341182.61420295457</v>
      </c>
      <c r="D2" s="87">
        <v>7.6621435633457219E-2</v>
      </c>
      <c r="E2" s="86">
        <v>7320500.0000000019</v>
      </c>
      <c r="F2" s="86">
        <v>2704036.7850000011</v>
      </c>
      <c r="G2" s="86" t="s">
        <v>93</v>
      </c>
      <c r="I2" s="88"/>
    </row>
    <row r="3" spans="1:9">
      <c r="A3" s="84" t="s">
        <v>70</v>
      </c>
      <c r="B3" s="87">
        <v>0.08</v>
      </c>
      <c r="C3" s="86">
        <v>4023226.0024080658</v>
      </c>
      <c r="D3" s="87">
        <v>0.30217307905451612</v>
      </c>
      <c r="E3" s="86">
        <v>9619534.3749999963</v>
      </c>
      <c r="F3" s="86">
        <v>4737292.3197499979</v>
      </c>
      <c r="G3" s="86" t="s">
        <v>94</v>
      </c>
    </row>
    <row r="4" spans="1:9">
      <c r="A4" s="84" t="s">
        <v>71</v>
      </c>
      <c r="B4" s="87">
        <v>0.12</v>
      </c>
      <c r="C4" s="86">
        <v>-4062244.1543235919</v>
      </c>
      <c r="D4" s="87">
        <v>-0.29047378220748499</v>
      </c>
      <c r="E4" s="86">
        <v>5469778.1250000009</v>
      </c>
      <c r="F4" s="86">
        <v>988414.83275000006</v>
      </c>
      <c r="G4" s="86" t="s">
        <v>93</v>
      </c>
    </row>
  </sheetData>
  <autoFilter ref="A1:G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Executive_Dashboard</vt:lpstr>
      <vt:lpstr>Story</vt:lpstr>
      <vt:lpstr>Assumptions</vt:lpstr>
      <vt:lpstr>Financial_Model</vt:lpstr>
      <vt:lpstr>PBI_Financials</vt:lpstr>
      <vt:lpstr>PBI_Scenario_Summary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Jirapat Sukpol</cp:lastModifiedBy>
  <dcterms:created xsi:type="dcterms:W3CDTF">2026-10-07T10:03:24Z</dcterms:created>
  <dcterms:modified xsi:type="dcterms:W3CDTF">2026-10-16T01:53:56Z</dcterms:modified>
</cp:coreProperties>
</file>